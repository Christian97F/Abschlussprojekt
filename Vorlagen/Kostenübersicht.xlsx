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Semesterprojekt\Vorlagen\"/>
    </mc:Choice>
  </mc:AlternateContent>
  <xr:revisionPtr revIDLastSave="0" documentId="13_ncr:1_{1DF7C7C5-FF27-4760-B39C-D592AD3AA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stenübersic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F21" i="1" s="1"/>
  <c r="F15" i="1"/>
  <c r="F14" i="1"/>
  <c r="F13" i="1"/>
  <c r="F17" i="1" s="1"/>
  <c r="F9" i="1"/>
  <c r="H9" i="1" s="1"/>
  <c r="F8" i="1"/>
  <c r="H8" i="1" s="1"/>
  <c r="F7" i="1"/>
  <c r="H7" i="1" s="1"/>
  <c r="F6" i="1"/>
  <c r="H6" i="1" s="1"/>
  <c r="F5" i="1"/>
  <c r="H5" i="1" s="1"/>
  <c r="H10" i="1" s="1"/>
  <c r="F10" i="1" l="1"/>
  <c r="F20" i="1" s="1"/>
</calcChain>
</file>

<file path=xl/sharedStrings.xml><?xml version="1.0" encoding="utf-8"?>
<sst xmlns="http://schemas.openxmlformats.org/spreadsheetml/2006/main" count="42" uniqueCount="38">
  <si>
    <t>Kostenübersicht &amp; Investitionsplan</t>
  </si>
  <si>
    <t>Projekt: ____________  |  Stand: __.__.__</t>
  </si>
  <si>
    <t>Nr.</t>
  </si>
  <si>
    <t>Position</t>
  </si>
  <si>
    <t>Menge</t>
  </si>
  <si>
    <t>Einheit</t>
  </si>
  <si>
    <t>Einzel-
preis (€)</t>
  </si>
  <si>
    <t>Gesamt-
preis (€)</t>
  </si>
  <si>
    <t>Nutzungs-
dauer (J)</t>
  </si>
  <si>
    <t>Abschreibung
p.a. (€)</t>
  </si>
  <si>
    <t>EINMALIGE INVESTITIONEN</t>
  </si>
  <si>
    <t>01</t>
  </si>
  <si>
    <t>Präzisionssäge</t>
  </si>
  <si>
    <t>Stk.</t>
  </si>
  <si>
    <t>02</t>
  </si>
  <si>
    <t>Schaltschrank / SPS (Siemens ET 200SP)</t>
  </si>
  <si>
    <t>03</t>
  </si>
  <si>
    <t>Montagevorrichtungen</t>
  </si>
  <si>
    <t>Set</t>
  </si>
  <si>
    <t>04</t>
  </si>
  <si>
    <t>Installation &amp; Inbetriebnahme</t>
  </si>
  <si>
    <t>Psch.</t>
  </si>
  <si>
    <t>05</t>
  </si>
  <si>
    <t>Summe Investitionen</t>
  </si>
  <si>
    <t>LAUFENDE KOSTEN (P.A.)</t>
  </si>
  <si>
    <t>06</t>
  </si>
  <si>
    <t>Wartung &amp; Service</t>
  </si>
  <si>
    <t>Jahr</t>
  </si>
  <si>
    <t>07</t>
  </si>
  <si>
    <t>Verbrauchsmaterial</t>
  </si>
  <si>
    <t>08</t>
  </si>
  <si>
    <t>Personal (anteilig)</t>
  </si>
  <si>
    <t>09</t>
  </si>
  <si>
    <t>Summe lfd. Kosten p.a.</t>
  </si>
  <si>
    <t>GESAMTKOSTEN</t>
  </si>
  <si>
    <t>Gesamtkosten Jahr 1 (Invest + lfd.)</t>
  </si>
  <si>
    <t>Gesamtkosten ab Jahr 2 (nur lfd.)</t>
  </si>
  <si>
    <t>Amortisationszeit (Jahre)  → manuell berechnen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</si>
</sst>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0DCE8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1A2540"/>
      <name val="Calibri"/>
    </font>
    <font>
      <b/>
      <sz val="10"/>
      <color rgb="FF1A254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2540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D0DCE8"/>
      </patternFill>
    </fill>
  </fills>
  <borders count="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/>
    </xf>
    <xf numFmtId="164" fontId="6" fillId="6" borderId="2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3" borderId="3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pane ySplit="3" topLeftCell="A4" activePane="bottomLeft" state="frozen"/>
      <selection pane="bottomLeft" activeCell="L8" sqref="L8"/>
    </sheetView>
  </sheetViews>
  <sheetFormatPr baseColWidth="10" defaultColWidth="9.140625" defaultRowHeight="15" x14ac:dyDescent="0.25"/>
  <cols>
    <col min="1" max="1" width="5" customWidth="1"/>
    <col min="2" max="2" width="32" customWidth="1"/>
    <col min="3" max="7" width="14" customWidth="1"/>
    <col min="8" max="8" width="16" customWidth="1"/>
  </cols>
  <sheetData>
    <row r="1" spans="1:26" ht="39.950000000000003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8" customHeight="1" thickBot="1" x14ac:dyDescent="0.3">
      <c r="A2" s="15" t="s">
        <v>1</v>
      </c>
      <c r="B2" s="15"/>
      <c r="C2" s="15"/>
      <c r="D2" s="15"/>
      <c r="E2" s="15"/>
      <c r="F2" s="15"/>
      <c r="G2" s="15"/>
      <c r="H2" s="15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2.25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26" ht="21.95" customHeight="1" x14ac:dyDescent="0.25">
      <c r="A4" s="11" t="s">
        <v>10</v>
      </c>
      <c r="B4" s="12"/>
      <c r="C4" s="12"/>
      <c r="D4" s="12"/>
      <c r="E4" s="12"/>
      <c r="F4" s="12"/>
      <c r="G4" s="12"/>
      <c r="H4" s="12"/>
    </row>
    <row r="5" spans="1:26" ht="20.100000000000001" customHeight="1" x14ac:dyDescent="0.25">
      <c r="A5" s="2" t="s">
        <v>11</v>
      </c>
      <c r="B5" s="3" t="s">
        <v>12</v>
      </c>
      <c r="C5" s="2">
        <v>1</v>
      </c>
      <c r="D5" s="2" t="s">
        <v>13</v>
      </c>
      <c r="E5" s="4">
        <v>0</v>
      </c>
      <c r="F5" s="4">
        <f>C5*E5</f>
        <v>0</v>
      </c>
      <c r="G5" s="2">
        <v>10</v>
      </c>
      <c r="H5" s="4">
        <f>F5/G5</f>
        <v>0</v>
      </c>
    </row>
    <row r="6" spans="1:26" ht="20.100000000000001" customHeight="1" x14ac:dyDescent="0.25">
      <c r="A6" s="5" t="s">
        <v>14</v>
      </c>
      <c r="B6" s="6" t="s">
        <v>15</v>
      </c>
      <c r="C6" s="5">
        <v>1</v>
      </c>
      <c r="D6" s="5" t="s">
        <v>13</v>
      </c>
      <c r="E6" s="7">
        <v>1300</v>
      </c>
      <c r="F6" s="7">
        <f>C6*E6</f>
        <v>1300</v>
      </c>
      <c r="G6" s="5">
        <v>10</v>
      </c>
      <c r="H6" s="7">
        <f>F6/G6</f>
        <v>130</v>
      </c>
    </row>
    <row r="7" spans="1:26" ht="20.100000000000001" customHeight="1" x14ac:dyDescent="0.25">
      <c r="A7" s="2" t="s">
        <v>16</v>
      </c>
      <c r="B7" s="3" t="s">
        <v>17</v>
      </c>
      <c r="C7" s="2">
        <v>1</v>
      </c>
      <c r="D7" s="2" t="s">
        <v>18</v>
      </c>
      <c r="E7" s="4">
        <v>0</v>
      </c>
      <c r="F7" s="4">
        <f>C7*E7</f>
        <v>0</v>
      </c>
      <c r="G7" s="2">
        <v>5</v>
      </c>
      <c r="H7" s="4">
        <f>F7/G7</f>
        <v>0</v>
      </c>
    </row>
    <row r="8" spans="1:26" ht="20.100000000000001" customHeight="1" x14ac:dyDescent="0.25">
      <c r="A8" s="5" t="s">
        <v>19</v>
      </c>
      <c r="B8" s="6" t="s">
        <v>20</v>
      </c>
      <c r="C8" s="5">
        <v>1</v>
      </c>
      <c r="D8" s="5" t="s">
        <v>21</v>
      </c>
      <c r="E8" s="7">
        <v>0</v>
      </c>
      <c r="F8" s="7">
        <f>C8*E8</f>
        <v>0</v>
      </c>
      <c r="G8" s="5">
        <v>1</v>
      </c>
      <c r="H8" s="7">
        <f>F8/G8</f>
        <v>0</v>
      </c>
    </row>
    <row r="9" spans="1:26" ht="20.100000000000001" customHeight="1" x14ac:dyDescent="0.25">
      <c r="A9" s="2" t="s">
        <v>22</v>
      </c>
      <c r="B9" s="3"/>
      <c r="C9" s="2">
        <v>1</v>
      </c>
      <c r="D9" s="2"/>
      <c r="E9" s="4">
        <v>0</v>
      </c>
      <c r="F9" s="4">
        <f>C9*E9</f>
        <v>0</v>
      </c>
      <c r="G9" s="2">
        <v>10</v>
      </c>
      <c r="H9" s="4">
        <f>F9/G9</f>
        <v>0</v>
      </c>
    </row>
    <row r="10" spans="1:26" ht="20.100000000000001" customHeight="1" x14ac:dyDescent="0.25">
      <c r="A10" s="8"/>
      <c r="B10" s="9" t="s">
        <v>23</v>
      </c>
      <c r="C10" s="8"/>
      <c r="D10" s="8"/>
      <c r="E10" s="10"/>
      <c r="F10" s="10">
        <f>SUM(F5:F9)</f>
        <v>1300</v>
      </c>
      <c r="G10" s="8"/>
      <c r="H10" s="10">
        <f>SUM(H5:H9)</f>
        <v>130</v>
      </c>
    </row>
    <row r="11" spans="1:26" ht="8.1" customHeight="1" x14ac:dyDescent="0.25"/>
    <row r="12" spans="1:26" ht="21.95" customHeight="1" x14ac:dyDescent="0.25">
      <c r="A12" s="11" t="s">
        <v>24</v>
      </c>
      <c r="B12" s="12"/>
      <c r="C12" s="12"/>
      <c r="D12" s="12"/>
      <c r="E12" s="12"/>
      <c r="F12" s="12"/>
      <c r="G12" s="12"/>
      <c r="H12" s="12"/>
    </row>
    <row r="13" spans="1:26" ht="20.100000000000001" customHeight="1" x14ac:dyDescent="0.25">
      <c r="A13" s="2" t="s">
        <v>25</v>
      </c>
      <c r="B13" s="3" t="s">
        <v>26</v>
      </c>
      <c r="C13" s="2">
        <v>1</v>
      </c>
      <c r="D13" s="2" t="s">
        <v>27</v>
      </c>
      <c r="E13" s="4">
        <v>0</v>
      </c>
      <c r="F13" s="4">
        <f>C12*E12</f>
        <v>0</v>
      </c>
      <c r="G13" s="2"/>
      <c r="H13" s="4"/>
    </row>
    <row r="14" spans="1:26" ht="20.100000000000001" customHeight="1" x14ac:dyDescent="0.25">
      <c r="A14" s="5" t="s">
        <v>28</v>
      </c>
      <c r="B14" s="6" t="s">
        <v>29</v>
      </c>
      <c r="C14" s="5">
        <v>1</v>
      </c>
      <c r="D14" s="5" t="s">
        <v>27</v>
      </c>
      <c r="E14" s="7">
        <v>0</v>
      </c>
      <c r="F14" s="7">
        <f>C13*E13</f>
        <v>0</v>
      </c>
      <c r="G14" s="5"/>
      <c r="H14" s="7"/>
    </row>
    <row r="15" spans="1:26" ht="20.100000000000001" customHeight="1" x14ac:dyDescent="0.25">
      <c r="A15" s="2" t="s">
        <v>30</v>
      </c>
      <c r="B15" s="3" t="s">
        <v>31</v>
      </c>
      <c r="C15" s="2">
        <v>1</v>
      </c>
      <c r="D15" s="2" t="s">
        <v>27</v>
      </c>
      <c r="E15" s="4">
        <v>0</v>
      </c>
      <c r="F15" s="4">
        <f>C14*E14</f>
        <v>0</v>
      </c>
      <c r="G15" s="2"/>
      <c r="H15" s="4"/>
    </row>
    <row r="16" spans="1:26" ht="20.100000000000001" customHeight="1" x14ac:dyDescent="0.25">
      <c r="A16" s="5" t="s">
        <v>32</v>
      </c>
      <c r="B16" s="6"/>
      <c r="C16" s="5">
        <v>1</v>
      </c>
      <c r="D16" s="5" t="s">
        <v>27</v>
      </c>
      <c r="E16" s="7">
        <v>0</v>
      </c>
      <c r="F16" s="7">
        <f>C15*E15</f>
        <v>0</v>
      </c>
      <c r="G16" s="5"/>
      <c r="H16" s="7"/>
    </row>
    <row r="17" spans="1:8" ht="20.100000000000001" customHeight="1" x14ac:dyDescent="0.25">
      <c r="A17" s="8"/>
      <c r="B17" s="9" t="s">
        <v>33</v>
      </c>
      <c r="C17" s="8"/>
      <c r="D17" s="8"/>
      <c r="E17" s="10"/>
      <c r="F17" s="10">
        <f>SUM(F12:F15)</f>
        <v>0</v>
      </c>
      <c r="G17" s="8"/>
      <c r="H17" s="10"/>
    </row>
    <row r="18" spans="1:8" ht="8.1" customHeight="1" x14ac:dyDescent="0.25"/>
    <row r="19" spans="1:8" ht="21.95" customHeight="1" x14ac:dyDescent="0.25">
      <c r="A19" s="11" t="s">
        <v>34</v>
      </c>
      <c r="B19" s="12"/>
      <c r="C19" s="12"/>
      <c r="D19" s="12"/>
      <c r="E19" s="12"/>
      <c r="F19" s="12"/>
      <c r="G19" s="12"/>
      <c r="H19" s="12"/>
    </row>
    <row r="20" spans="1:8" ht="20.100000000000001" customHeight="1" x14ac:dyDescent="0.25">
      <c r="A20" s="8"/>
      <c r="B20" s="9" t="s">
        <v>35</v>
      </c>
      <c r="C20" s="8"/>
      <c r="D20" s="8"/>
      <c r="E20" s="10"/>
      <c r="F20" s="10">
        <f>F10+F16</f>
        <v>1300</v>
      </c>
      <c r="G20" s="8"/>
      <c r="H20" s="10"/>
    </row>
    <row r="21" spans="1:8" ht="20.100000000000001" customHeight="1" x14ac:dyDescent="0.25">
      <c r="A21" s="8"/>
      <c r="B21" s="9" t="s">
        <v>36</v>
      </c>
      <c r="C21" s="8"/>
      <c r="D21" s="8"/>
      <c r="E21" s="10"/>
      <c r="F21" s="10">
        <f>F16</f>
        <v>0</v>
      </c>
      <c r="G21" s="8"/>
      <c r="H21" s="10"/>
    </row>
    <row r="22" spans="1:8" ht="20.100000000000001" customHeight="1" x14ac:dyDescent="0.25">
      <c r="A22" s="8"/>
      <c r="B22" s="9" t="s">
        <v>37</v>
      </c>
      <c r="C22" s="8"/>
      <c r="D22" s="8"/>
      <c r="E22" s="10"/>
      <c r="F22" s="10"/>
      <c r="G22" s="8"/>
      <c r="H22" s="10"/>
    </row>
  </sheetData>
  <mergeCells count="5">
    <mergeCell ref="A12:H12"/>
    <mergeCell ref="A4:H4"/>
    <mergeCell ref="A19:H19"/>
    <mergeCell ref="A1:H1"/>
    <mergeCell ref="A2:H2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Kostenübersicht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Fiedler</cp:lastModifiedBy>
  <cp:lastPrinted>2026-04-29T13:37:13Z</cp:lastPrinted>
  <dcterms:created xsi:type="dcterms:W3CDTF">2026-04-29T13:28:28Z</dcterms:created>
  <dcterms:modified xsi:type="dcterms:W3CDTF">2026-04-29T13:43:38Z</dcterms:modified>
</cp:coreProperties>
</file>