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S:\Semesterprojekt\Vorlagen\"/>
    </mc:Choice>
  </mc:AlternateContent>
  <xr:revisionPtr revIDLastSave="0" documentId="13_ncr:1_{57E0747E-2293-4DCB-8E72-439F80B9F4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äufigkeitsanaly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4" i="1" l="1"/>
  <c r="E13" i="1"/>
  <c r="F13" i="1" s="1"/>
  <c r="D13" i="1"/>
  <c r="E12" i="1"/>
  <c r="F12" i="1" s="1"/>
  <c r="D12" i="1"/>
  <c r="E11" i="1"/>
  <c r="F11" i="1" s="1"/>
  <c r="D11" i="1"/>
  <c r="E10" i="1"/>
  <c r="F10" i="1" s="1"/>
  <c r="D10" i="1"/>
  <c r="E9" i="1"/>
  <c r="D9" i="1"/>
  <c r="E8" i="1"/>
  <c r="D8" i="1"/>
  <c r="E7" i="1"/>
  <c r="D7" i="1"/>
  <c r="E6" i="1"/>
  <c r="D6" i="1"/>
  <c r="E5" i="1"/>
  <c r="D5" i="1"/>
  <c r="E4" i="1"/>
  <c r="F4" i="1" s="1"/>
  <c r="D4" i="1"/>
  <c r="F9" i="1" l="1"/>
  <c r="F8" i="1"/>
  <c r="F7" i="1"/>
  <c r="F6" i="1"/>
  <c r="F5" i="1"/>
  <c r="E14" i="1"/>
</calcChain>
</file>

<file path=xl/sharedStrings.xml><?xml version="1.0" encoding="utf-8"?>
<sst xmlns="http://schemas.openxmlformats.org/spreadsheetml/2006/main" count="17" uniqueCount="17">
  <si>
    <t>Häufigkeitsanalyse – Fehler- / Reklamationsauswertung</t>
  </si>
  <si>
    <t>Zeitraum: __.__.__  bis  __.__.__  |  Gesamtreklamationen: (automatisch)</t>
  </si>
  <si>
    <t>Nr.</t>
  </si>
  <si>
    <t>Fehlerart / Reklamationsgrund</t>
  </si>
  <si>
    <t>Anzahl</t>
  </si>
  <si>
    <t>Rang</t>
  </si>
  <si>
    <t>Relative
Häufigkeit (%)</t>
  </si>
  <si>
    <t>Kumuliert (%)</t>
  </si>
  <si>
    <t>Kategorie / Maßnahme</t>
  </si>
  <si>
    <t>Falsche Klebetemperatur</t>
  </si>
  <si>
    <t>Fehlausrichtung beim Kleben</t>
  </si>
  <si>
    <t>Materialfehler (Carbonrohr)</t>
  </si>
  <si>
    <t>Schnittfehler (Säge)</t>
  </si>
  <si>
    <t>Lackfehler</t>
  </si>
  <si>
    <t>Unbekannte Ursache</t>
  </si>
  <si>
    <t>GESAMT</t>
  </si>
  <si>
    <t>Tipp: Fehlertypen nach Spalte 'Rang' sortieren und die Top-3 für die 80/20-Analyse markieren (Pareto-Prinzip).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</si>
</sst>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D0DCE8"/>
      <name val="Calibri"/>
    </font>
    <font>
      <b/>
      <sz val="11"/>
      <color rgb="FFFFFFFF"/>
      <name val="Calibri"/>
    </font>
    <font>
      <sz val="10"/>
      <color rgb="FF1A2540"/>
      <name val="Calibri"/>
    </font>
    <font>
      <b/>
      <sz val="10"/>
      <color rgb="FFFFFFFF"/>
      <name val="Calibri"/>
    </font>
    <font>
      <i/>
      <sz val="9"/>
      <color rgb="FF0096AA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A2540"/>
      </patternFill>
    </fill>
    <fill>
      <patternFill patternType="solid">
        <fgColor rgb="FF1E3A5F"/>
      </patternFill>
    </fill>
    <fill>
      <patternFill patternType="solid">
        <fgColor rgb="FFF0F4F8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medium">
        <color rgb="FF1E3A5F"/>
      </left>
      <right style="medium">
        <color rgb="FF1E3A5F"/>
      </right>
      <top style="medium">
        <color rgb="FF1E3A5F"/>
      </top>
      <bottom style="medium">
        <color rgb="FF1E3A5F"/>
      </bottom>
      <diagonal/>
    </border>
    <border>
      <left style="thin">
        <color rgb="FFD0DCE8"/>
      </left>
      <right style="thin">
        <color rgb="FFD0DCE8"/>
      </right>
      <top style="thin">
        <color rgb="FFD0DCE8"/>
      </top>
      <bottom style="thin">
        <color rgb="FFD0DCE8"/>
      </bottom>
      <diagonal/>
    </border>
    <border>
      <left style="medium">
        <color rgb="FF1A2540"/>
      </left>
      <right style="medium">
        <color rgb="FF1A2540"/>
      </right>
      <top style="medium">
        <color rgb="FF1A2540"/>
      </top>
      <bottom style="medium">
        <color rgb="FF1A2540"/>
      </bottom>
      <diagonal/>
    </border>
    <border>
      <left/>
      <right/>
      <top/>
      <bottom style="medium">
        <color rgb="FF1E3A5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/>
    </xf>
    <xf numFmtId="164" fontId="4" fillId="5" borderId="2" xfId="0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/>
    </xf>
    <xf numFmtId="0" fontId="0" fillId="0" borderId="0" xfId="0" applyAlignment="1"/>
    <xf numFmtId="0" fontId="6" fillId="0" borderId="0" xfId="0" applyFont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</cellXfs>
  <cellStyles count="1">
    <cellStyle name="Standard" xfId="0" builtinId="0"/>
  </cellStyles>
  <dxfs count="1">
    <dxf>
      <fill>
        <patternFill patternType="solid">
          <fgColor rgb="FFD5F5E3"/>
          <bgColor rgb="FFD5F5E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"/>
  <sheetViews>
    <sheetView tabSelected="1" workbookViewId="0">
      <pane ySplit="3" topLeftCell="A4" activePane="bottomLeft" state="frozen"/>
      <selection pane="bottomLeft" activeCell="F9" sqref="F9"/>
    </sheetView>
  </sheetViews>
  <sheetFormatPr baseColWidth="10" defaultColWidth="9.140625" defaultRowHeight="15" x14ac:dyDescent="0.25"/>
  <cols>
    <col min="1" max="1" width="5" customWidth="1"/>
    <col min="2" max="2" width="35" customWidth="1"/>
    <col min="3" max="3" width="12" customWidth="1"/>
    <col min="4" max="4" width="14" customWidth="1"/>
    <col min="5" max="5" width="16" customWidth="1"/>
    <col min="6" max="6" width="18" customWidth="1"/>
    <col min="7" max="7" width="22" customWidth="1"/>
  </cols>
  <sheetData>
    <row r="1" spans="1:26" ht="39.950000000000003" customHeight="1" x14ac:dyDescent="0.25">
      <c r="A1" s="13" t="s">
        <v>0</v>
      </c>
      <c r="B1" s="13"/>
      <c r="C1" s="13"/>
      <c r="D1" s="13"/>
      <c r="E1" s="13"/>
      <c r="F1" s="13"/>
      <c r="G1" s="13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8" customHeight="1" thickBot="1" x14ac:dyDescent="0.3">
      <c r="A2" s="14" t="s">
        <v>1</v>
      </c>
      <c r="B2" s="14"/>
      <c r="C2" s="14"/>
      <c r="D2" s="14"/>
      <c r="E2" s="14"/>
      <c r="F2" s="14"/>
      <c r="G2" s="14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36" customHeight="1" thickBo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26" ht="20.100000000000001" customHeight="1" x14ac:dyDescent="0.25">
      <c r="A4" s="2">
        <v>1</v>
      </c>
      <c r="B4" s="3" t="s">
        <v>9</v>
      </c>
      <c r="C4" s="2">
        <v>5</v>
      </c>
      <c r="D4" s="2">
        <f t="shared" ref="D4:D13" si="0">IF(C4="","",RANK(C4,$C$4:$C$13,0))</f>
        <v>2</v>
      </c>
      <c r="E4" s="4">
        <f t="shared" ref="E4:E13" si="1">IF(C4="","",C4/SUM($C$4:$C$13)*100)</f>
        <v>20.833333333333336</v>
      </c>
      <c r="F4" s="4">
        <f>IF(E4="","",SUM($E$4:E4))</f>
        <v>20.833333333333336</v>
      </c>
      <c r="G4" s="2"/>
    </row>
    <row r="5" spans="1:26" ht="20.100000000000001" customHeight="1" x14ac:dyDescent="0.25">
      <c r="A5" s="5">
        <v>2</v>
      </c>
      <c r="B5" s="6" t="s">
        <v>10</v>
      </c>
      <c r="C5" s="5">
        <v>2</v>
      </c>
      <c r="D5" s="5">
        <f t="shared" si="0"/>
        <v>5</v>
      </c>
      <c r="E5" s="7">
        <f t="shared" si="1"/>
        <v>8.3333333333333321</v>
      </c>
      <c r="F5" s="7">
        <f>IF(E5="","",SUM($E$4:E5))</f>
        <v>29.166666666666668</v>
      </c>
      <c r="G5" s="5"/>
    </row>
    <row r="6" spans="1:26" ht="20.100000000000001" customHeight="1" x14ac:dyDescent="0.25">
      <c r="A6" s="2">
        <v>3</v>
      </c>
      <c r="B6" s="3" t="s">
        <v>11</v>
      </c>
      <c r="C6" s="2">
        <v>1</v>
      </c>
      <c r="D6" s="2">
        <f t="shared" si="0"/>
        <v>6</v>
      </c>
      <c r="E6" s="4">
        <f t="shared" si="1"/>
        <v>4.1666666666666661</v>
      </c>
      <c r="F6" s="4">
        <f>IF(E6="","",SUM($E$4:E6))</f>
        <v>33.333333333333336</v>
      </c>
      <c r="G6" s="2"/>
    </row>
    <row r="7" spans="1:26" ht="20.100000000000001" customHeight="1" x14ac:dyDescent="0.25">
      <c r="A7" s="5">
        <v>4</v>
      </c>
      <c r="B7" s="6" t="s">
        <v>12</v>
      </c>
      <c r="C7" s="5">
        <v>5</v>
      </c>
      <c r="D7" s="5">
        <f t="shared" si="0"/>
        <v>2</v>
      </c>
      <c r="E7" s="7">
        <f t="shared" si="1"/>
        <v>20.833333333333336</v>
      </c>
      <c r="F7" s="7">
        <f>IF(E7="","",SUM($E$4:E7))</f>
        <v>54.166666666666671</v>
      </c>
      <c r="G7" s="5"/>
    </row>
    <row r="8" spans="1:26" ht="20.100000000000001" customHeight="1" x14ac:dyDescent="0.25">
      <c r="A8" s="2">
        <v>5</v>
      </c>
      <c r="B8" s="3" t="s">
        <v>13</v>
      </c>
      <c r="C8" s="2">
        <v>7</v>
      </c>
      <c r="D8" s="2">
        <f t="shared" si="0"/>
        <v>1</v>
      </c>
      <c r="E8" s="4">
        <f t="shared" si="1"/>
        <v>29.166666666666668</v>
      </c>
      <c r="F8" s="4">
        <f>IF(E8="","",SUM($E$4:E8))</f>
        <v>83.333333333333343</v>
      </c>
      <c r="G8" s="2"/>
    </row>
    <row r="9" spans="1:26" ht="20.100000000000001" customHeight="1" x14ac:dyDescent="0.25">
      <c r="A9" s="5">
        <v>6</v>
      </c>
      <c r="B9" s="6" t="s">
        <v>14</v>
      </c>
      <c r="C9" s="5">
        <v>4</v>
      </c>
      <c r="D9" s="5">
        <f t="shared" si="0"/>
        <v>4</v>
      </c>
      <c r="E9" s="7">
        <f t="shared" si="1"/>
        <v>16.666666666666664</v>
      </c>
      <c r="F9" s="7">
        <f>IF(E9="","",SUM($E$4:E9))</f>
        <v>100</v>
      </c>
      <c r="G9" s="5"/>
    </row>
    <row r="10" spans="1:26" ht="20.100000000000001" customHeight="1" x14ac:dyDescent="0.25">
      <c r="A10" s="2"/>
      <c r="B10" s="3"/>
      <c r="C10" s="2"/>
      <c r="D10" s="2" t="str">
        <f t="shared" si="0"/>
        <v/>
      </c>
      <c r="E10" s="4" t="str">
        <f t="shared" si="1"/>
        <v/>
      </c>
      <c r="F10" s="4" t="str">
        <f>IF(E10="","",SUM($E$4:E10))</f>
        <v/>
      </c>
      <c r="G10" s="2"/>
    </row>
    <row r="11" spans="1:26" ht="20.100000000000001" customHeight="1" x14ac:dyDescent="0.25">
      <c r="A11" s="5"/>
      <c r="B11" s="6"/>
      <c r="C11" s="5"/>
      <c r="D11" s="5" t="str">
        <f t="shared" si="0"/>
        <v/>
      </c>
      <c r="E11" s="7" t="str">
        <f t="shared" si="1"/>
        <v/>
      </c>
      <c r="F11" s="7" t="str">
        <f>IF(E11="","",SUM($E$4:E11))</f>
        <v/>
      </c>
      <c r="G11" s="5"/>
    </row>
    <row r="12" spans="1:26" ht="20.100000000000001" customHeight="1" x14ac:dyDescent="0.25">
      <c r="A12" s="2"/>
      <c r="B12" s="3"/>
      <c r="C12" s="2"/>
      <c r="D12" s="2" t="str">
        <f t="shared" si="0"/>
        <v/>
      </c>
      <c r="E12" s="4" t="str">
        <f t="shared" si="1"/>
        <v/>
      </c>
      <c r="F12" s="4" t="str">
        <f>IF(E12="","",SUM($E$4:E12))</f>
        <v/>
      </c>
      <c r="G12" s="2"/>
    </row>
    <row r="13" spans="1:26" ht="20.100000000000001" customHeight="1" x14ac:dyDescent="0.25">
      <c r="A13" s="5"/>
      <c r="B13" s="6"/>
      <c r="C13" s="5"/>
      <c r="D13" s="5" t="str">
        <f t="shared" si="0"/>
        <v/>
      </c>
      <c r="E13" s="7" t="str">
        <f t="shared" si="1"/>
        <v/>
      </c>
      <c r="F13" s="7" t="str">
        <f>IF(E13="","",SUM($E$4:E13))</f>
        <v/>
      </c>
      <c r="G13" s="5"/>
    </row>
    <row r="14" spans="1:26" ht="21.95" customHeight="1" x14ac:dyDescent="0.25">
      <c r="A14" s="8"/>
      <c r="B14" s="8" t="s">
        <v>15</v>
      </c>
      <c r="C14" s="8">
        <f>SUM(C4:C13)</f>
        <v>24</v>
      </c>
      <c r="D14" s="8"/>
      <c r="E14" s="9">
        <f>SUM(E4:E13)</f>
        <v>100</v>
      </c>
      <c r="F14" s="8"/>
      <c r="G14" s="8"/>
    </row>
    <row r="16" spans="1:26" x14ac:dyDescent="0.25">
      <c r="A16" s="11" t="s">
        <v>16</v>
      </c>
      <c r="B16" s="12"/>
      <c r="C16" s="12"/>
      <c r="D16" s="12"/>
      <c r="E16" s="12"/>
      <c r="F16" s="12"/>
      <c r="G16" s="12"/>
    </row>
  </sheetData>
  <mergeCells count="3">
    <mergeCell ref="A16:G16"/>
    <mergeCell ref="A1:G1"/>
    <mergeCell ref="A2:G2"/>
  </mergeCells>
  <conditionalFormatting sqref="F4:F13">
    <cfRule type="cellIs" dxfId="0" priority="1" operator="lessThanOrEqual">
      <formula>80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Häufigkeitsanalyse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Fiedler</cp:lastModifiedBy>
  <dcterms:created xsi:type="dcterms:W3CDTF">2026-04-29T13:28:28Z</dcterms:created>
  <dcterms:modified xsi:type="dcterms:W3CDTF">2026-04-29T15:00:13Z</dcterms:modified>
</cp:coreProperties>
</file>