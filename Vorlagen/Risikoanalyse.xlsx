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S:\Semesterprojekt\Vorlagen\"/>
    </mc:Choice>
  </mc:AlternateContent>
  <xr:revisionPtr revIDLastSave="0" documentId="13_ncr:1_{6DE7F5AF-DADD-474C-9185-36F3076CFF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sikoliste" sheetId="1" r:id="rId1"/>
    <sheet name="Matrix (5x5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1" l="1"/>
  <c r="G13" i="1" s="1"/>
  <c r="G12" i="1"/>
  <c r="F12" i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</calcChain>
</file>

<file path=xl/sharedStrings.xml><?xml version="1.0" encoding="utf-8"?>
<sst xmlns="http://schemas.openxmlformats.org/spreadsheetml/2006/main" count="72" uniqueCount="63">
  <si>
    <t>Risikoanalyse</t>
  </si>
  <si>
    <t>Projektbezeichnung | Version 1.0 | Datum: __.__.__</t>
  </si>
  <si>
    <t>Nr.</t>
  </si>
  <si>
    <t>Risikobeschreibung</t>
  </si>
  <si>
    <t>Risikobereich</t>
  </si>
  <si>
    <t>Eintrittswahrscheinlichkeit
(1=selten … 5=sicher)</t>
  </si>
  <si>
    <t>Schadensausmaß
(1=gering … 5=katastrophal)</t>
  </si>
  <si>
    <t>Risikoprioritätszahl
(E × S)</t>
  </si>
  <si>
    <t>Bewertung</t>
  </si>
  <si>
    <t>Gegenmaßnahme</t>
  </si>
  <si>
    <t>Verantwortlich</t>
  </si>
  <si>
    <t>Status</t>
  </si>
  <si>
    <t>R01</t>
  </si>
  <si>
    <t>Platzbedarf der Anlage nicht ausreichend</t>
  </si>
  <si>
    <t>Logistik</t>
  </si>
  <si>
    <t>Abmaße prüfen, Standortzeichnung anfertigen</t>
  </si>
  <si>
    <t>Projektleiter</t>
  </si>
  <si>
    <t>Offen</t>
  </si>
  <si>
    <t>R02</t>
  </si>
  <si>
    <t>Lieferverzögerung Säge / Schaltschrank</t>
  </si>
  <si>
    <t>Beschaffung</t>
  </si>
  <si>
    <t>Zeitpuffer einplanen</t>
  </si>
  <si>
    <t>Einkauf</t>
  </si>
  <si>
    <t>R03</t>
  </si>
  <si>
    <t>Keine qualifizierten Programmierer verfügbar</t>
  </si>
  <si>
    <t>Personal</t>
  </si>
  <si>
    <t>Externe Firma beauftragen</t>
  </si>
  <si>
    <t>R04</t>
  </si>
  <si>
    <t>Kosten höher als geplant</t>
  </si>
  <si>
    <t>Finanzen</t>
  </si>
  <si>
    <t>Rücklagen einkalkulieren</t>
  </si>
  <si>
    <t>Controlling</t>
  </si>
  <si>
    <t>R05</t>
  </si>
  <si>
    <t>Personalausfälle im Team</t>
  </si>
  <si>
    <t>Personalbedarfsplanung prüfen</t>
  </si>
  <si>
    <t>HR</t>
  </si>
  <si>
    <t>R06</t>
  </si>
  <si>
    <t>Montageprobleme bei Inbetriebnahme</t>
  </si>
  <si>
    <t>Technik</t>
  </si>
  <si>
    <t>Externe Montagefirma einplanen</t>
  </si>
  <si>
    <t>R07</t>
  </si>
  <si>
    <t>Unbekannte Fehlerquelle aus Reklamationen</t>
  </si>
  <si>
    <t>Qualität</t>
  </si>
  <si>
    <t>Ursachenanalyse durchführen</t>
  </si>
  <si>
    <t>QM</t>
  </si>
  <si>
    <t>LEGENDE</t>
  </si>
  <si>
    <t>GERING  (RPZ &lt; 8)</t>
  </si>
  <si>
    <t>MITTEL  (RPZ 8–14)</t>
  </si>
  <si>
    <t>HOCH    (RPZ &gt;= 15)</t>
  </si>
  <si>
    <t>Risikomatrix – Visualisierung</t>
  </si>
  <si>
    <t>Eintrittswahrscheinlichkeit (Y) × Schadensausmaß (X)</t>
  </si>
  <si>
    <t>E \ S →</t>
  </si>
  <si>
    <t>1
Gering</t>
  </si>
  <si>
    <t>2
Klein</t>
  </si>
  <si>
    <t>3
Mittel</t>
  </si>
  <si>
    <t>4
Groß</t>
  </si>
  <si>
    <t>5
Katastro-
phal</t>
  </si>
  <si>
    <t>5
Sicher</t>
  </si>
  <si>
    <t>4
Wahr-
scheinl.</t>
  </si>
  <si>
    <t>3
Möglich</t>
  </si>
  <si>
    <t>2
Selten</t>
  </si>
  <si>
    <t>1
Unwahr-
scheinl.</t>
  </si>
  <si>
    <t>→ Risiken hier einzeichnen (Kürzel + Nr.)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</si>
</sst>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D0DCE8"/>
      <name val="Calibri"/>
    </font>
    <font>
      <b/>
      <sz val="11"/>
      <color rgb="FFFFFFFF"/>
      <name val="Calibri"/>
    </font>
    <font>
      <sz val="10"/>
      <color rgb="FF1A2540"/>
      <name val="Calibri"/>
    </font>
    <font>
      <b/>
      <sz val="10"/>
      <color rgb="FF1A2540"/>
      <name val="Calibri"/>
    </font>
    <font>
      <b/>
      <sz val="10"/>
      <color rgb="FF27AE60"/>
      <name val="Calibri"/>
    </font>
    <font>
      <b/>
      <sz val="10"/>
      <color rgb="FFE67E22"/>
      <name val="Calibri"/>
    </font>
    <font>
      <b/>
      <sz val="10"/>
      <color rgb="FFC0392B"/>
      <name val="Calibri"/>
    </font>
    <font>
      <b/>
      <sz val="10"/>
      <color rgb="FFFFFFFF"/>
      <name val="Calibri"/>
    </font>
    <font>
      <b/>
      <sz val="14"/>
      <color rgb="FFE67E22"/>
      <name val="Calibri"/>
    </font>
    <font>
      <b/>
      <sz val="14"/>
      <color rgb="FFC0392B"/>
      <name val="Calibri"/>
    </font>
    <font>
      <b/>
      <sz val="14"/>
      <color rgb="FF27AE60"/>
      <name val="Calibri"/>
    </font>
    <font>
      <i/>
      <sz val="10"/>
      <color rgb="FF8090A8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A2540"/>
      </patternFill>
    </fill>
    <fill>
      <patternFill patternType="solid">
        <fgColor rgb="FF1E3A5F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ADBD8"/>
      </patternFill>
    </fill>
    <fill>
      <patternFill patternType="solid">
        <fgColor rgb="FFFEF9E7"/>
      </patternFill>
    </fill>
  </fills>
  <borders count="5"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D0DCE8"/>
      </left>
      <right style="thin">
        <color rgb="FFD0DCE8"/>
      </right>
      <top style="thin">
        <color rgb="FFD0DCE8"/>
      </top>
      <bottom style="thin">
        <color rgb="FFD0DCE8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1E3A5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3" fillId="0" borderId="0" xfId="0" applyFont="1"/>
    <xf numFmtId="0" fontId="1" fillId="0" borderId="0" xfId="0" applyFont="1" applyFill="1" applyAlignment="1">
      <alignment vertical="center"/>
    </xf>
    <xf numFmtId="0" fontId="0" fillId="0" borderId="0" xfId="0" applyFill="1"/>
    <xf numFmtId="0" fontId="2" fillId="3" borderId="4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</cellXfs>
  <cellStyles count="1">
    <cellStyle name="Standard" xfId="0" builtinId="0"/>
  </cellStyles>
  <dxfs count="3">
    <dxf>
      <font>
        <b/>
        <color rgb="FF27AE60"/>
      </font>
      <fill>
        <patternFill patternType="solid">
          <fgColor rgb="FFD5F5E3"/>
          <bgColor rgb="FFD5F5E3"/>
        </patternFill>
      </fill>
    </dxf>
    <dxf>
      <font>
        <b/>
        <color rgb="FFE67E22"/>
      </font>
      <fill>
        <patternFill patternType="solid">
          <fgColor rgb="FFFDEBD0"/>
          <bgColor rgb="FFFDEBD0"/>
        </patternFill>
      </fill>
    </dxf>
    <dxf>
      <font>
        <b/>
        <color rgb="FFC0392B"/>
      </font>
      <fill>
        <patternFill patternType="solid">
          <fgColor rgb="FFFADBD8"/>
          <bgColor rgb="FFFADBD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tabSelected="1" workbookViewId="0">
      <pane ySplit="3" topLeftCell="A4" activePane="bottomLeft" state="frozen"/>
      <selection pane="bottomLeft" activeCell="N5" sqref="N5"/>
    </sheetView>
  </sheetViews>
  <sheetFormatPr baseColWidth="10" defaultColWidth="9.140625" defaultRowHeight="15" x14ac:dyDescent="0.25"/>
  <cols>
    <col min="1" max="1" width="5" customWidth="1"/>
    <col min="2" max="2" width="32" customWidth="1"/>
    <col min="3" max="3" width="18" customWidth="1"/>
    <col min="4" max="5" width="14" customWidth="1"/>
    <col min="6" max="7" width="12" customWidth="1"/>
    <col min="8" max="8" width="32" customWidth="1"/>
    <col min="9" max="9" width="18" customWidth="1"/>
    <col min="10" max="10" width="12" customWidth="1"/>
  </cols>
  <sheetData>
    <row r="1" spans="1:26" s="22" customFormat="1" ht="39.950000000000003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s="22" customFormat="1" ht="18" customHeight="1" thickBot="1" x14ac:dyDescent="0.3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69.75" customHeight="1" thickBo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26" ht="20.100000000000001" customHeight="1" x14ac:dyDescent="0.25">
      <c r="A4" s="2" t="s">
        <v>12</v>
      </c>
      <c r="B4" s="2" t="s">
        <v>13</v>
      </c>
      <c r="C4" s="2" t="s">
        <v>14</v>
      </c>
      <c r="D4" s="2">
        <v>3</v>
      </c>
      <c r="E4" s="2">
        <v>4</v>
      </c>
      <c r="F4" s="3">
        <f t="shared" ref="F4:F13" si="0">IF(D4="","",D4*E4)</f>
        <v>12</v>
      </c>
      <c r="G4" s="2" t="str">
        <f t="shared" ref="G4:G13" si="1">IF(F4="","",IF(F4&gt;=15,"HOCH",IF(F4&gt;=8,"MITTEL","GERING")))</f>
        <v>MITTEL</v>
      </c>
      <c r="H4" s="2" t="s">
        <v>15</v>
      </c>
      <c r="I4" s="2" t="s">
        <v>16</v>
      </c>
      <c r="J4" s="2" t="s">
        <v>17</v>
      </c>
    </row>
    <row r="5" spans="1:26" ht="20.100000000000001" customHeight="1" x14ac:dyDescent="0.25">
      <c r="A5" s="4" t="s">
        <v>18</v>
      </c>
      <c r="B5" s="4" t="s">
        <v>19</v>
      </c>
      <c r="C5" s="4" t="s">
        <v>20</v>
      </c>
      <c r="D5" s="4">
        <v>3</v>
      </c>
      <c r="E5" s="4">
        <v>3</v>
      </c>
      <c r="F5" s="5">
        <f t="shared" si="0"/>
        <v>9</v>
      </c>
      <c r="G5" s="4" t="str">
        <f t="shared" si="1"/>
        <v>MITTEL</v>
      </c>
      <c r="H5" s="4" t="s">
        <v>21</v>
      </c>
      <c r="I5" s="4" t="s">
        <v>22</v>
      </c>
      <c r="J5" s="4" t="s">
        <v>17</v>
      </c>
    </row>
    <row r="6" spans="1:26" ht="20.100000000000001" customHeight="1" x14ac:dyDescent="0.25">
      <c r="A6" s="2" t="s">
        <v>23</v>
      </c>
      <c r="B6" s="2" t="s">
        <v>24</v>
      </c>
      <c r="C6" s="2" t="s">
        <v>25</v>
      </c>
      <c r="D6" s="2">
        <v>2</v>
      </c>
      <c r="E6" s="2">
        <v>4</v>
      </c>
      <c r="F6" s="3">
        <f t="shared" si="0"/>
        <v>8</v>
      </c>
      <c r="G6" s="2" t="str">
        <f t="shared" si="1"/>
        <v>MITTEL</v>
      </c>
      <c r="H6" s="2" t="s">
        <v>26</v>
      </c>
      <c r="I6" s="2" t="s">
        <v>16</v>
      </c>
      <c r="J6" s="2" t="s">
        <v>17</v>
      </c>
    </row>
    <row r="7" spans="1:26" ht="20.100000000000001" customHeight="1" x14ac:dyDescent="0.25">
      <c r="A7" s="4" t="s">
        <v>27</v>
      </c>
      <c r="B7" s="4" t="s">
        <v>28</v>
      </c>
      <c r="C7" s="4" t="s">
        <v>29</v>
      </c>
      <c r="D7" s="4">
        <v>2</v>
      </c>
      <c r="E7" s="4">
        <v>3</v>
      </c>
      <c r="F7" s="5">
        <f t="shared" si="0"/>
        <v>6</v>
      </c>
      <c r="G7" s="4" t="str">
        <f t="shared" si="1"/>
        <v>GERING</v>
      </c>
      <c r="H7" s="4" t="s">
        <v>30</v>
      </c>
      <c r="I7" s="4" t="s">
        <v>31</v>
      </c>
      <c r="J7" s="4" t="s">
        <v>17</v>
      </c>
    </row>
    <row r="8" spans="1:26" ht="20.100000000000001" customHeight="1" x14ac:dyDescent="0.25">
      <c r="A8" s="2" t="s">
        <v>32</v>
      </c>
      <c r="B8" s="2" t="s">
        <v>33</v>
      </c>
      <c r="C8" s="2" t="s">
        <v>25</v>
      </c>
      <c r="D8" s="2">
        <v>3</v>
      </c>
      <c r="E8" s="2">
        <v>2</v>
      </c>
      <c r="F8" s="3">
        <f t="shared" si="0"/>
        <v>6</v>
      </c>
      <c r="G8" s="2" t="str">
        <f t="shared" si="1"/>
        <v>GERING</v>
      </c>
      <c r="H8" s="2" t="s">
        <v>34</v>
      </c>
      <c r="I8" s="2" t="s">
        <v>35</v>
      </c>
      <c r="J8" s="2" t="s">
        <v>17</v>
      </c>
    </row>
    <row r="9" spans="1:26" ht="20.100000000000001" customHeight="1" x14ac:dyDescent="0.25">
      <c r="A9" s="4" t="s">
        <v>36</v>
      </c>
      <c r="B9" s="4" t="s">
        <v>37</v>
      </c>
      <c r="C9" s="4" t="s">
        <v>38</v>
      </c>
      <c r="D9" s="4">
        <v>2</v>
      </c>
      <c r="E9" s="4">
        <v>4</v>
      </c>
      <c r="F9" s="5">
        <f t="shared" si="0"/>
        <v>8</v>
      </c>
      <c r="G9" s="4" t="str">
        <f t="shared" si="1"/>
        <v>MITTEL</v>
      </c>
      <c r="H9" s="4" t="s">
        <v>39</v>
      </c>
      <c r="I9" s="4" t="s">
        <v>38</v>
      </c>
      <c r="J9" s="4" t="s">
        <v>17</v>
      </c>
    </row>
    <row r="10" spans="1:26" ht="20.100000000000001" customHeight="1" x14ac:dyDescent="0.25">
      <c r="A10" s="2" t="s">
        <v>40</v>
      </c>
      <c r="B10" s="2" t="s">
        <v>41</v>
      </c>
      <c r="C10" s="2" t="s">
        <v>42</v>
      </c>
      <c r="D10" s="2">
        <v>3</v>
      </c>
      <c r="E10" s="2">
        <v>5</v>
      </c>
      <c r="F10" s="3">
        <f t="shared" si="0"/>
        <v>15</v>
      </c>
      <c r="G10" s="2" t="str">
        <f t="shared" si="1"/>
        <v>HOCH</v>
      </c>
      <c r="H10" s="2" t="s">
        <v>43</v>
      </c>
      <c r="I10" s="2" t="s">
        <v>44</v>
      </c>
      <c r="J10" s="2" t="s">
        <v>17</v>
      </c>
    </row>
    <row r="11" spans="1:26" ht="20.100000000000001" customHeight="1" x14ac:dyDescent="0.25">
      <c r="A11" s="4"/>
      <c r="B11" s="4"/>
      <c r="C11" s="4"/>
      <c r="D11" s="4"/>
      <c r="E11" s="4"/>
      <c r="F11" s="5" t="str">
        <f t="shared" si="0"/>
        <v/>
      </c>
      <c r="G11" s="4" t="str">
        <f t="shared" si="1"/>
        <v/>
      </c>
      <c r="H11" s="4"/>
      <c r="I11" s="4"/>
      <c r="J11" s="4"/>
    </row>
    <row r="12" spans="1:26" ht="20.100000000000001" customHeight="1" x14ac:dyDescent="0.25">
      <c r="A12" s="2"/>
      <c r="B12" s="2"/>
      <c r="C12" s="2"/>
      <c r="D12" s="2"/>
      <c r="E12" s="2"/>
      <c r="F12" s="3" t="str">
        <f t="shared" si="0"/>
        <v/>
      </c>
      <c r="G12" s="2" t="str">
        <f t="shared" si="1"/>
        <v/>
      </c>
      <c r="H12" s="2"/>
      <c r="I12" s="2"/>
      <c r="J12" s="2"/>
    </row>
    <row r="13" spans="1:26" ht="20.100000000000001" customHeight="1" x14ac:dyDescent="0.25">
      <c r="A13" s="4"/>
      <c r="B13" s="4"/>
      <c r="C13" s="4"/>
      <c r="D13" s="4"/>
      <c r="E13" s="4"/>
      <c r="F13" s="5" t="str">
        <f t="shared" si="0"/>
        <v/>
      </c>
      <c r="G13" s="4" t="str">
        <f t="shared" si="1"/>
        <v/>
      </c>
      <c r="H13" s="4"/>
      <c r="I13" s="4"/>
      <c r="J13" s="4"/>
    </row>
    <row r="15" spans="1:26" ht="21.95" customHeight="1" x14ac:dyDescent="0.25">
      <c r="A15" s="18" t="s">
        <v>45</v>
      </c>
      <c r="B15" s="14"/>
      <c r="C15" s="14"/>
    </row>
    <row r="16" spans="1:26" ht="18" customHeight="1" x14ac:dyDescent="0.25">
      <c r="A16" s="19" t="s">
        <v>46</v>
      </c>
      <c r="B16" s="14"/>
      <c r="C16" s="14"/>
    </row>
    <row r="17" spans="1:3" ht="18" customHeight="1" x14ac:dyDescent="0.25">
      <c r="A17" s="15" t="s">
        <v>47</v>
      </c>
      <c r="B17" s="14"/>
      <c r="C17" s="14"/>
    </row>
    <row r="18" spans="1:3" ht="18" customHeight="1" x14ac:dyDescent="0.25">
      <c r="A18" s="16" t="s">
        <v>48</v>
      </c>
      <c r="B18" s="14"/>
      <c r="C18" s="14"/>
    </row>
  </sheetData>
  <mergeCells count="6">
    <mergeCell ref="A17:C17"/>
    <mergeCell ref="A18:C18"/>
    <mergeCell ref="A15:C15"/>
    <mergeCell ref="A16:C16"/>
    <mergeCell ref="A1:J1"/>
    <mergeCell ref="A2:J2"/>
  </mergeCells>
  <conditionalFormatting sqref="G4:G30">
    <cfRule type="cellIs" dxfId="2" priority="1" operator="equal">
      <formula>"HOCH"</formula>
    </cfRule>
    <cfRule type="cellIs" dxfId="1" priority="2" operator="equal">
      <formula>"MITTEL"</formula>
    </cfRule>
    <cfRule type="cellIs" dxfId="0" priority="3" operator="equal">
      <formula>"GERING"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"/>
  <sheetViews>
    <sheetView workbookViewId="0"/>
  </sheetViews>
  <sheetFormatPr baseColWidth="10" defaultColWidth="9.140625" defaultRowHeight="15" x14ac:dyDescent="0.25"/>
  <cols>
    <col min="1" max="1" width="14" customWidth="1"/>
    <col min="2" max="6" width="12" customWidth="1"/>
  </cols>
  <sheetData>
    <row r="1" spans="1:26" ht="38.1" customHeight="1" x14ac:dyDescent="0.25">
      <c r="A1" s="13" t="s">
        <v>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.95" customHeight="1" x14ac:dyDescent="0.25">
      <c r="A2" s="17" t="s">
        <v>50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42" customHeight="1" x14ac:dyDescent="0.25">
      <c r="A3" s="6" t="s">
        <v>51</v>
      </c>
      <c r="B3" s="7" t="s">
        <v>52</v>
      </c>
      <c r="C3" s="7" t="s">
        <v>53</v>
      </c>
      <c r="D3" s="7" t="s">
        <v>54</v>
      </c>
      <c r="E3" s="7" t="s">
        <v>55</v>
      </c>
      <c r="F3" s="7" t="s">
        <v>56</v>
      </c>
    </row>
    <row r="4" spans="1:26" ht="38.1" customHeight="1" x14ac:dyDescent="0.25">
      <c r="A4" s="7" t="s">
        <v>57</v>
      </c>
      <c r="B4" s="8">
        <v>1</v>
      </c>
      <c r="C4" s="9">
        <v>2</v>
      </c>
      <c r="D4" s="10">
        <v>3</v>
      </c>
      <c r="E4" s="10">
        <v>4</v>
      </c>
      <c r="F4" s="10">
        <v>5</v>
      </c>
    </row>
    <row r="5" spans="1:26" ht="38.1" customHeight="1" x14ac:dyDescent="0.25">
      <c r="A5" s="7" t="s">
        <v>58</v>
      </c>
      <c r="B5" s="11">
        <v>2</v>
      </c>
      <c r="C5" s="8">
        <v>4</v>
      </c>
      <c r="D5" s="12">
        <v>6</v>
      </c>
      <c r="E5" s="10">
        <v>8</v>
      </c>
      <c r="F5" s="10">
        <v>10</v>
      </c>
    </row>
    <row r="6" spans="1:26" ht="38.1" customHeight="1" x14ac:dyDescent="0.25">
      <c r="A6" s="7" t="s">
        <v>59</v>
      </c>
      <c r="B6" s="11">
        <v>3</v>
      </c>
      <c r="C6" s="11">
        <v>6</v>
      </c>
      <c r="D6" s="8">
        <v>9</v>
      </c>
      <c r="E6" s="12">
        <v>12</v>
      </c>
      <c r="F6" s="10">
        <v>15</v>
      </c>
    </row>
    <row r="7" spans="1:26" ht="38.1" customHeight="1" x14ac:dyDescent="0.25">
      <c r="A7" s="7" t="s">
        <v>60</v>
      </c>
      <c r="B7" s="11">
        <v>4</v>
      </c>
      <c r="C7" s="11">
        <v>8</v>
      </c>
      <c r="D7" s="11">
        <v>12</v>
      </c>
      <c r="E7" s="8">
        <v>16</v>
      </c>
      <c r="F7" s="12">
        <v>20</v>
      </c>
    </row>
    <row r="8" spans="1:26" ht="38.1" customHeight="1" x14ac:dyDescent="0.25">
      <c r="A8" s="7" t="s">
        <v>61</v>
      </c>
      <c r="B8" s="11">
        <v>5</v>
      </c>
      <c r="C8" s="11">
        <v>10</v>
      </c>
      <c r="D8" s="11">
        <v>15</v>
      </c>
      <c r="E8" s="11">
        <v>20</v>
      </c>
      <c r="F8" s="8">
        <v>25</v>
      </c>
    </row>
    <row r="10" spans="1:26" x14ac:dyDescent="0.25">
      <c r="A10" s="20" t="s">
        <v>62</v>
      </c>
      <c r="B10" s="14"/>
      <c r="C10" s="14"/>
      <c r="D10" s="14"/>
      <c r="E10" s="14"/>
      <c r="F10" s="14"/>
    </row>
  </sheetData>
  <mergeCells count="3">
    <mergeCell ref="A1:Z1"/>
    <mergeCell ref="A10:F10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Risikoliste</vt:lpstr>
      <vt:lpstr>Matrix (5x5)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Fiedler</cp:lastModifiedBy>
  <dcterms:created xsi:type="dcterms:W3CDTF">2026-04-29T13:28:28Z</dcterms:created>
  <dcterms:modified xsi:type="dcterms:W3CDTF">2026-04-29T13:52:08Z</dcterms:modified>
</cp:coreProperties>
</file>