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54CEF4AB-41F9-4BB9-AC0F-72D56FF38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ke or Bu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B26" i="1"/>
  <c r="D26" i="1" s="1"/>
  <c r="D25" i="1"/>
  <c r="D24" i="1"/>
  <c r="C24" i="1"/>
  <c r="B24" i="1"/>
  <c r="B20" i="1"/>
  <c r="C19" i="1"/>
  <c r="C20" i="1" s="1"/>
  <c r="D18" i="1"/>
  <c r="D17" i="1"/>
  <c r="D16" i="1"/>
  <c r="D15" i="1"/>
  <c r="C11" i="1"/>
  <c r="B11" i="1"/>
  <c r="D11" i="1" s="1"/>
  <c r="D10" i="1"/>
  <c r="C10" i="1"/>
  <c r="B10" i="1"/>
  <c r="D9" i="1"/>
  <c r="D8" i="1"/>
  <c r="C7" i="1"/>
  <c r="B7" i="1"/>
  <c r="D7" i="1" s="1"/>
  <c r="D6" i="1"/>
  <c r="D5" i="1"/>
  <c r="D20" i="1" l="1"/>
  <c r="D19" i="1"/>
</calcChain>
</file>

<file path=xl/sharedStrings.xml><?xml version="1.0" encoding="utf-8"?>
<sst xmlns="http://schemas.openxmlformats.org/spreadsheetml/2006/main" count="33" uniqueCount="25">
  <si>
    <t>Make-or-Buy-Analyse</t>
  </si>
  <si>
    <t>Kostenvergleich Eigenproduktion vs. Zukauf</t>
  </si>
  <si>
    <t>VARIABLE KOSTEN</t>
  </si>
  <si>
    <t>Position</t>
  </si>
  <si>
    <t>BUY (Zukauf)</t>
  </si>
  <si>
    <t>MAKE (Eigen)</t>
  </si>
  <si>
    <t>Differenz</t>
  </si>
  <si>
    <t>Rohrlänge (m)</t>
  </si>
  <si>
    <t>Meterpreis (€/m)</t>
  </si>
  <si>
    <t>Materialkosten (€)  =  Länge × Preis</t>
  </si>
  <si>
    <t>Arbeitszeit (h)</t>
  </si>
  <si>
    <t>Stundenlohn (€/h)</t>
  </si>
  <si>
    <t>Arbeitskosten (€)  =  Zeit × Lohn</t>
  </si>
  <si>
    <t>Variable Stückkosten kv (€)</t>
  </si>
  <si>
    <t>FIXE KOSTEN (PRO JAHR)</t>
  </si>
  <si>
    <t>Wareneingangskontrolle / Pauschale (€/Jahr)</t>
  </si>
  <si>
    <t>Jährliche Wartung (€/Jahr)</t>
  </si>
  <si>
    <t>Investitionskosten (€)</t>
  </si>
  <si>
    <t>Nutzungsdauer (Jahre)</t>
  </si>
  <si>
    <t>Abschreibung p.a. (€)  =  Invest / Jahre</t>
  </si>
  <si>
    <t>Fixe Gesamtkosten Kf (€/Jahr)</t>
  </si>
  <si>
    <t>KRITISCHE MENGE</t>
  </si>
  <si>
    <t>Kritische Menge xkrit (Stück/Jahr)</t>
  </si>
  <si>
    <t>Geplante Absatzmenge (Stück/Jahr)</t>
  </si>
  <si>
    <t>Empfehlung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</si>
</sst>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1A254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Standard" xfId="0" builtinId="0"/>
  </cellStyles>
  <dxfs count="2">
    <dxf>
      <fill>
        <patternFill patternType="solid">
          <fgColor rgb="FFD5F5E3"/>
          <bgColor rgb="FFD5F5E3"/>
        </patternFill>
      </fill>
    </dxf>
    <dxf>
      <fill>
        <patternFill patternType="solid">
          <fgColor rgb="FFFADBD8"/>
          <b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30" customWidth="1"/>
    <col min="2" max="3" width="18" customWidth="1"/>
    <col min="4" max="4" width="14" customWidth="1"/>
  </cols>
  <sheetData>
    <row r="1" spans="1:26" ht="39.950000000000003" customHeight="1" x14ac:dyDescent="0.25">
      <c r="A1" s="6" t="s">
        <v>0</v>
      </c>
      <c r="B1" s="6"/>
      <c r="C1" s="6"/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8" customHeight="1" x14ac:dyDescent="0.25">
      <c r="A2" s="9" t="s">
        <v>1</v>
      </c>
      <c r="B2" s="9"/>
      <c r="C2" s="9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1.95" customHeight="1" x14ac:dyDescent="0.25">
      <c r="A3" s="8" t="s">
        <v>2</v>
      </c>
      <c r="B3" s="7"/>
      <c r="C3" s="7"/>
      <c r="D3" s="7"/>
    </row>
    <row r="4" spans="1:26" ht="21.95" customHeight="1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26" ht="20.100000000000001" customHeight="1" x14ac:dyDescent="0.25">
      <c r="A5" s="2" t="s">
        <v>7</v>
      </c>
      <c r="B5" s="3"/>
      <c r="C5" s="3"/>
      <c r="D5" s="3" t="str">
        <f t="shared" ref="D5:D11" si="0">IF(AND(B5&lt;&gt;"",C5&lt;&gt;""),B5-C5,"")</f>
        <v/>
      </c>
    </row>
    <row r="6" spans="1:26" ht="20.100000000000001" customHeight="1" x14ac:dyDescent="0.25">
      <c r="A6" s="4" t="s">
        <v>8</v>
      </c>
      <c r="B6" s="5"/>
      <c r="C6" s="5"/>
      <c r="D6" s="5" t="str">
        <f t="shared" si="0"/>
        <v/>
      </c>
    </row>
    <row r="7" spans="1:26" ht="20.100000000000001" customHeight="1" x14ac:dyDescent="0.25">
      <c r="A7" s="2" t="s">
        <v>9</v>
      </c>
      <c r="B7" s="3">
        <f>B5*B6</f>
        <v>0</v>
      </c>
      <c r="C7" s="3">
        <f>C5*C6</f>
        <v>0</v>
      </c>
      <c r="D7" s="3">
        <f t="shared" si="0"/>
        <v>0</v>
      </c>
    </row>
    <row r="8" spans="1:26" ht="20.100000000000001" customHeight="1" x14ac:dyDescent="0.25">
      <c r="A8" s="4" t="s">
        <v>10</v>
      </c>
      <c r="B8" s="5"/>
      <c r="C8" s="5"/>
      <c r="D8" s="5" t="str">
        <f t="shared" si="0"/>
        <v/>
      </c>
    </row>
    <row r="9" spans="1:26" ht="20.100000000000001" customHeight="1" x14ac:dyDescent="0.25">
      <c r="A9" s="2" t="s">
        <v>11</v>
      </c>
      <c r="B9" s="3"/>
      <c r="C9" s="3"/>
      <c r="D9" s="3" t="str">
        <f t="shared" si="0"/>
        <v/>
      </c>
    </row>
    <row r="10" spans="1:26" ht="20.100000000000001" customHeight="1" x14ac:dyDescent="0.25">
      <c r="A10" s="4" t="s">
        <v>12</v>
      </c>
      <c r="B10" s="5">
        <f>B8*B9</f>
        <v>0</v>
      </c>
      <c r="C10" s="5">
        <f>C8*C9</f>
        <v>0</v>
      </c>
      <c r="D10" s="5">
        <f t="shared" si="0"/>
        <v>0</v>
      </c>
    </row>
    <row r="11" spans="1:26" ht="20.100000000000001" customHeight="1" x14ac:dyDescent="0.25">
      <c r="A11" s="2" t="s">
        <v>13</v>
      </c>
      <c r="B11" s="3">
        <f>B7+B10</f>
        <v>0</v>
      </c>
      <c r="C11" s="3">
        <f>C7+C10</f>
        <v>0</v>
      </c>
      <c r="D11" s="3">
        <f t="shared" si="0"/>
        <v>0</v>
      </c>
    </row>
    <row r="13" spans="1:26" ht="21.95" customHeight="1" x14ac:dyDescent="0.25">
      <c r="A13" s="8" t="s">
        <v>14</v>
      </c>
      <c r="B13" s="7"/>
      <c r="C13" s="7"/>
      <c r="D13" s="7"/>
    </row>
    <row r="14" spans="1:26" ht="21.95" customHeight="1" x14ac:dyDescent="0.25">
      <c r="A14" s="1" t="s">
        <v>3</v>
      </c>
      <c r="B14" s="1" t="s">
        <v>4</v>
      </c>
      <c r="C14" s="1" t="s">
        <v>5</v>
      </c>
      <c r="D14" s="1" t="s">
        <v>6</v>
      </c>
    </row>
    <row r="15" spans="1:26" ht="20.100000000000001" customHeight="1" x14ac:dyDescent="0.25">
      <c r="A15" s="2" t="s">
        <v>15</v>
      </c>
      <c r="B15" s="3"/>
      <c r="C15" s="3"/>
      <c r="D15" s="3" t="str">
        <f t="shared" ref="D15:D20" si="1">IF(AND(B15&lt;&gt;"",C15&lt;&gt;""),B15-C15,"")</f>
        <v/>
      </c>
    </row>
    <row r="16" spans="1:26" ht="20.100000000000001" customHeight="1" x14ac:dyDescent="0.25">
      <c r="A16" s="4" t="s">
        <v>16</v>
      </c>
      <c r="B16" s="5"/>
      <c r="C16" s="5"/>
      <c r="D16" s="5" t="str">
        <f t="shared" si="1"/>
        <v/>
      </c>
    </row>
    <row r="17" spans="1:4" ht="20.100000000000001" customHeight="1" x14ac:dyDescent="0.25">
      <c r="A17" s="2" t="s">
        <v>17</v>
      </c>
      <c r="B17" s="3"/>
      <c r="C17" s="3"/>
      <c r="D17" s="3" t="str">
        <f t="shared" si="1"/>
        <v/>
      </c>
    </row>
    <row r="18" spans="1:4" ht="20.100000000000001" customHeight="1" x14ac:dyDescent="0.25">
      <c r="A18" s="4" t="s">
        <v>18</v>
      </c>
      <c r="B18" s="5"/>
      <c r="C18" s="5"/>
      <c r="D18" s="5" t="str">
        <f t="shared" si="1"/>
        <v/>
      </c>
    </row>
    <row r="19" spans="1:4" ht="20.100000000000001" customHeight="1" x14ac:dyDescent="0.25">
      <c r="A19" s="2" t="s">
        <v>19</v>
      </c>
      <c r="B19" s="3"/>
      <c r="C19" s="3" t="e">
        <f>C17/C18</f>
        <v>#DIV/0!</v>
      </c>
      <c r="D19" s="3" t="e">
        <f t="shared" si="1"/>
        <v>#DIV/0!</v>
      </c>
    </row>
    <row r="20" spans="1:4" ht="20.100000000000001" customHeight="1" x14ac:dyDescent="0.25">
      <c r="A20" s="4" t="s">
        <v>20</v>
      </c>
      <c r="B20" s="5" t="str">
        <f>B14</f>
        <v>BUY (Zukauf)</v>
      </c>
      <c r="C20" s="5" t="e">
        <f>C15+C19</f>
        <v>#DIV/0!</v>
      </c>
      <c r="D20" s="5" t="e">
        <f t="shared" si="1"/>
        <v>#DIV/0!</v>
      </c>
    </row>
    <row r="22" spans="1:4" ht="21.95" customHeight="1" x14ac:dyDescent="0.25">
      <c r="A22" s="8" t="s">
        <v>21</v>
      </c>
      <c r="B22" s="7"/>
      <c r="C22" s="7"/>
      <c r="D22" s="7"/>
    </row>
    <row r="23" spans="1:4" ht="21.95" customHeight="1" x14ac:dyDescent="0.25">
      <c r="A23" s="1" t="s">
        <v>3</v>
      </c>
      <c r="B23" s="1" t="s">
        <v>4</v>
      </c>
      <c r="C23" s="1" t="s">
        <v>5</v>
      </c>
      <c r="D23" s="1" t="s">
        <v>6</v>
      </c>
    </row>
    <row r="24" spans="1:4" ht="20.100000000000001" customHeight="1" x14ac:dyDescent="0.25">
      <c r="A24" s="2" t="s">
        <v>22</v>
      </c>
      <c r="B24" s="3" t="e">
        <f>(C21-B21)/(B12-C12)</f>
        <v>#DIV/0!</v>
      </c>
      <c r="C24" s="3" t="e">
        <f>(C21-B21)/(B12-C12)</f>
        <v>#DIV/0!</v>
      </c>
      <c r="D24" s="3" t="e">
        <f>IF(AND(B24&lt;&gt;"",C24&lt;&gt;""),B24-C24,"")</f>
        <v>#DIV/0!</v>
      </c>
    </row>
    <row r="25" spans="1:4" ht="20.100000000000001" customHeight="1" x14ac:dyDescent="0.25">
      <c r="A25" s="4" t="s">
        <v>23</v>
      </c>
      <c r="B25" s="5"/>
      <c r="C25" s="5"/>
      <c r="D25" s="5" t="str">
        <f>IF(AND(B25&lt;&gt;"",C25&lt;&gt;""),B25-C25,"")</f>
        <v/>
      </c>
    </row>
    <row r="26" spans="1:4" ht="20.100000000000001" customHeight="1" x14ac:dyDescent="0.25">
      <c r="A26" s="2" t="s">
        <v>24</v>
      </c>
      <c r="B26" s="3" t="str">
        <f>IF(B23&gt;B22,"BUY (Eigenproduktion lohnt erst ab "&amp;TEXT(B22,"0")&amp;" Stück)","MAKE (Eigenproduktion lohnt sich)")</f>
        <v>BUY (Eigenproduktion lohnt erst ab 0 Stück)</v>
      </c>
      <c r="C26" s="3" t="str">
        <f>IF(B23&gt;B22,"BUY (Eigenproduktion lohnt erst ab "&amp;TEXT(B22,"0")&amp;" Stück)","MAKE (Eigenproduktion lohnt sich)")</f>
        <v>BUY (Eigenproduktion lohnt erst ab 0 Stück)</v>
      </c>
      <c r="D26" s="3" t="e">
        <f>IF(AND(B26&lt;&gt;"",C26&lt;&gt;""),B26-C26,"")</f>
        <v>#VALUE!</v>
      </c>
    </row>
  </sheetData>
  <mergeCells count="5">
    <mergeCell ref="A22:D22"/>
    <mergeCell ref="A3:D3"/>
    <mergeCell ref="A13:D13"/>
    <mergeCell ref="A1:D1"/>
    <mergeCell ref="A2:D2"/>
  </mergeCells>
  <conditionalFormatting sqref="D5:D3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Make or 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2026-04-29T18:23:34Z</dcterms:modified>
</cp:coreProperties>
</file>